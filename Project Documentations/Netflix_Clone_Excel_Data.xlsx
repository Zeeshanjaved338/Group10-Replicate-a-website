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00" windowHeight="6920"/>
  </bookViews>
  <sheets>
    <sheet name="Raw Data" sheetId="1" r:id="rId1"/>
    <sheet name="Calculation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<sst xmlns="http://schemas.openxmlformats.org/spreadsheetml/2006/main" count="28" uniqueCount="20">
  <si>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Category</t>
  </si>
  <si>
    <t>Monthly Views (000s)</t>
  </si>
  <si>
    <t>Subscription Type</t>
  </si>
  <si>
    <t>Prices</t>
  </si>
  <si>
    <t>Trending Now</t>
  </si>
  <si>
    <t>Basic</t>
  </si>
  <si>
    <t>Standard</t>
  </si>
  <si>
    <t>Netflix Originals</t>
  </si>
  <si>
    <t>Premium</t>
  </si>
  <si>
    <t>Action Movies</t>
  </si>
  <si>
    <t>Comedy Movies</t>
  </si>
  <si>
    <t>Average views</t>
  </si>
  <si>
    <t>Average price</t>
  </si>
  <si>
    <t>Metric</t>
  </si>
  <si>
    <t>Value</t>
  </si>
  <si>
    <t>Total Monthly Views</t>
  </si>
  <si>
    <t>Average Views</t>
  </si>
  <si>
    <t>Premium Content Count</t>
  </si>
  <si>
    <t>Highly Popular (&gt;500)</t>
  </si>
  <si>
    <t>Views (000s)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</si>
</sst>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2" tint="-0.5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justify"/>
    </xf>
    <xf numFmtId="0" fontId="2" fillId="3" borderId="0" xfId="0" applyFont="1" applyFill="1" applyAlignment="1">
      <alignment horizontal="justify"/>
    </xf>
    <xf numFmtId="0" fontId="2" fillId="4" borderId="0" xfId="0" applyFont="1" applyFill="1" applyAlignment="1">
      <alignment horizontal="justify"/>
    </xf>
    <xf numFmtId="0" fontId="2" fillId="5" borderId="0" xfId="0" applyFont="1" applyFill="1" applyAlignment="1">
      <alignment horizontal="justify"/>
    </xf>
    <xf numFmtId="0" fontId="0" fillId="4" borderId="0" xfId="0" applyFill="1" applyAlignment="1">
      <alignment horizontal="justify"/>
    </xf>
    <xf numFmtId="0" fontId="0" fillId="5" borderId="0" xfId="0" applyFill="1" applyAlignment="1">
      <alignment horizontal="justify"/>
    </xf>
    <xf numFmtId="0" fontId="0" fillId="5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Data'!$D$1</c:f>
              <c:strCache>
                <c:ptCount val="1"/>
                <c:pt idx="0">
                  <c:v>Prices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'Raw Data'!$C$2:$C$4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'Raw Data'!$D$2:$D$4</c:f>
              <c:numCache>
                <c:formatCode>General</c:formatCode>
                <c:ptCount val="3"/>
                <c:pt idx="0">
                  <c:v>450</c:v>
                </c:pt>
                <c:pt idx="1">
                  <c:v>250</c:v>
                </c:pt>
                <c:pt idx="2">
                  <c:v>1100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653471061"/>
        <c:axId val="23347073"/>
      </c:barChart>
      <c:catAx>
        <c:axId val="6534710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347073"/>
        <c:crosses val="autoZero"/>
        <c:auto val="1"/>
        <c:lblAlgn val="ctr"/>
        <c:lblOffset val="100"/>
        <c:noMultiLvlLbl val="0"/>
      </c:catAx>
      <c:valAx>
        <c:axId val="233470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347106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070b96-e017-431b-a48e-0af2a366f293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Data'!$B$1</c:f>
              <c:strCache>
                <c:ptCount val="1"/>
                <c:pt idx="0">
                  <c:v>Monthly Views (000s)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 Data'!$A$2:$A$6</c:f>
              <c:strCache>
                <c:ptCount val="5"/>
                <c:pt idx="0">
                  <c:v>Trending Now</c:v>
                </c:pt>
                <c:pt idx="1">
                  <c:v>Trending Now</c:v>
                </c:pt>
                <c:pt idx="2">
                  <c:v>Netflix Originals</c:v>
                </c:pt>
                <c:pt idx="3">
                  <c:v>Action Movies</c:v>
                </c:pt>
                <c:pt idx="4">
                  <c:v>Comedy Movies</c:v>
                </c:pt>
              </c:strCache>
            </c:strRef>
          </c:cat>
          <c:val>
            <c:numRef>
              <c:f>'Raw Data'!$B$2:$B$6</c:f>
              <c:numCache>
                <c:formatCode>General</c:formatCode>
                <c:ptCount val="5"/>
                <c:pt idx="0">
                  <c:v>530</c:v>
                </c:pt>
                <c:pt idx="1">
                  <c:v>610</c:v>
                </c:pt>
                <c:pt idx="2">
                  <c:v>880</c:v>
                </c:pt>
                <c:pt idx="3">
                  <c:v>430</c:v>
                </c:pt>
                <c:pt idx="4">
                  <c:v>390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563491684"/>
        <c:axId val="831971610"/>
      </c:barChart>
      <c:catAx>
        <c:axId val="5634916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1971610"/>
        <c:crosses val="autoZero"/>
        <c:auto val="1"/>
        <c:lblAlgn val="ctr"/>
        <c:lblOffset val="100"/>
        <c:noMultiLvlLbl val="0"/>
      </c:catAx>
      <c:valAx>
        <c:axId val="8319716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34916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2bc32d-5200-4344-8ddd-b6995a53fb72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Content Views by Category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Views (000s)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Dashboard!$A$2:$A$5</c:f>
              <c:strCache>
                <c:ptCount val="4"/>
                <c:pt idx="0">
                  <c:v>Trending Now</c:v>
                </c:pt>
                <c:pt idx="1">
                  <c:v>Netflix Originals</c:v>
                </c:pt>
                <c:pt idx="2">
                  <c:v>Action Movies</c:v>
                </c:pt>
                <c:pt idx="3">
                  <c:v>Comedy Movies</c:v>
                </c:pt>
              </c:strCache>
            </c:strRef>
          </c:cat>
          <c:val>
            <c:numRef>
              <c:f>Dashboard!$B$2:$B$5</c:f>
              <c:numCache>
                <c:formatCode>General</c:formatCode>
                <c:ptCount val="4"/>
                <c:pt idx="0">
                  <c:v>1130</c:v>
                </c:pt>
                <c:pt idx="1">
                  <c:v>880</c:v>
                </c:pt>
                <c:pt idx="2">
                  <c:v>430</c:v>
                </c:pt>
                <c:pt idx="3">
                  <c:v>390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9e989c-8636-466c-bf60-aea615e5bd8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387350</xdr:colOff>
      <xdr:row>7</xdr:row>
      <xdr:rowOff>6350</xdr:rowOff>
    </xdr:from>
    <xdr:to>
      <xdr:col>12</xdr:col>
      <xdr:colOff>184150</xdr:colOff>
      <xdr:row>21</xdr:row>
      <xdr:rowOff>171450</xdr:rowOff>
    </xdr:to>
    <xdr:graphicFrame>
      <xdr:nvGraphicFramePr>
        <xdr:cNvPr id="3" name="Chart 2"/>
        <xdr:cNvGraphicFramePr/>
      </xdr:nvGraphicFramePr>
      <xdr:xfrm>
        <a:off x="4851400" y="1308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</xdr:colOff>
      <xdr:row>7</xdr:row>
      <xdr:rowOff>6350</xdr:rowOff>
    </xdr:from>
    <xdr:to>
      <xdr:col>4</xdr:col>
      <xdr:colOff>388620</xdr:colOff>
      <xdr:row>21</xdr:row>
      <xdr:rowOff>171450</xdr:rowOff>
    </xdr:to>
    <xdr:graphicFrame>
      <xdr:nvGraphicFramePr>
        <xdr:cNvPr id="4" name="Chart 3"/>
        <xdr:cNvGraphicFramePr/>
      </xdr:nvGraphicFramePr>
      <xdr:xfrm>
        <a:off x="26670" y="1308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5400000" cy="2611100"/>
    <xdr:graphicFrame>
      <xdr:nvGraphicFramePr>
        <xdr:cNvPr id="2" name="Chart 1"/>
        <xdr:cNvGraphicFramePr/>
      </xdr:nvGraphicFramePr>
      <xdr:xfrm>
        <a:off x="2514600" y="184150"/>
        <a:ext cx="539940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E2" sqref="E2"/>
    </sheetView>
  </sheetViews>
  <sheetFormatPr defaultColWidth="9" defaultRowHeight="14.5" outlineLevelRow="7" outlineLevelCol="3"/>
  <cols>
    <col min="1" max="1" width="15.3636363636364" customWidth="1"/>
    <col min="2" max="2" width="21.5454545454545" customWidth="1"/>
    <col min="3" max="3" width="18" customWidth="1"/>
  </cols>
  <sheetData>
    <row r="1" ht="15.5" spans="1:4">
      <c r="A1" s="2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>
        <v>530</v>
      </c>
      <c r="C2" s="4" t="s">
        <v>5</v>
      </c>
      <c r="D2" s="5">
        <v>450</v>
      </c>
    </row>
    <row r="3" spans="1:4">
      <c r="A3" s="4" t="s">
        <v>4</v>
      </c>
      <c r="B3" s="5">
        <v>610</v>
      </c>
      <c r="C3" s="4" t="s">
        <v>6</v>
      </c>
      <c r="D3" s="5">
        <v>250</v>
      </c>
    </row>
    <row r="4" spans="1:4">
      <c r="A4" s="4" t="s">
        <v>7</v>
      </c>
      <c r="B4" s="5">
        <v>880</v>
      </c>
      <c r="C4" s="4" t="s">
        <v>8</v>
      </c>
      <c r="D4" s="5">
        <v>1100</v>
      </c>
    </row>
    <row r="5" spans="1:4">
      <c r="A5" s="4" t="s">
        <v>9</v>
      </c>
      <c r="B5" s="5">
        <v>430</v>
      </c>
      <c r="C5" s="4" t="s">
        <v>5</v>
      </c>
      <c r="D5" s="5">
        <v>450</v>
      </c>
    </row>
    <row r="6" spans="1:4">
      <c r="A6" s="4" t="s">
        <v>10</v>
      </c>
      <c r="B6" s="5">
        <v>390</v>
      </c>
      <c r="C6" s="4" t="s">
        <v>6</v>
      </c>
      <c r="D6" s="5">
        <v>250</v>
      </c>
    </row>
    <row r="7" spans="1:4">
      <c r="A7" s="6" t="s">
        <v>11</v>
      </c>
      <c r="B7" s="7">
        <f>AVERAGE(530,610,880,430,390)</f>
        <v>568</v>
      </c>
      <c r="C7" s="6" t="s">
        <v>12</v>
      </c>
      <c r="D7" s="7">
        <f>AVERAGE(450,250,1100)</f>
        <v>600</v>
      </c>
    </row>
    <row r="8" spans="3:4">
      <c r="C8" s="8"/>
      <c r="D8" s="8"/>
    </row>
  </sheetData>
  <dataValidations count="1">
    <dataValidation type="list" sqref="C2:C50">
      <formula1>"Basic,Standard,Premium"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5" outlineLevelRow="4" outlineLevelCol="1"/>
  <sheetData>
    <row r="1" spans="1:2">
      <c r="A1" t="s">
        <v>13</v>
      </c>
      <c r="B1" t="s">
        <v>14</v>
      </c>
    </row>
    <row r="2" spans="1:2">
      <c r="A2" t="s">
        <v>15</v>
      </c>
      <c r="B2" s="1">
        <f>SUM('Raw Data'!B2:B6)</f>
        <v>2840</v>
      </c>
    </row>
    <row r="3" spans="1:2">
      <c r="A3" t="s">
        <v>16</v>
      </c>
      <c r="B3">
        <f>AVERAGE('Raw Data'!B2:B6)</f>
        <v>568</v>
      </c>
    </row>
    <row r="4" spans="1:2">
      <c r="A4" t="s">
        <v>17</v>
      </c>
      <c r="B4">
        <f>COUNTIF('Raw Data'!C2:C6,"Premium")</f>
        <v>1</v>
      </c>
    </row>
    <row r="5" spans="1:2">
      <c r="A5" t="s">
        <v>18</v>
      </c>
      <c r="B5">
        <f>COUNTIF('Raw Data'!B2:B6,"&gt;500")</f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5" outlineLevelRow="4" outlineLevelCol="1"/>
  <sheetData>
    <row r="1" spans="1:2">
      <c r="A1" t="s">
        <v>0</v>
      </c>
      <c r="B1" t="s">
        <v>19</v>
      </c>
    </row>
    <row r="2" spans="1:2">
      <c r="A2" t="s">
        <v>4</v>
      </c>
      <c r="B2">
        <v>1130</v>
      </c>
    </row>
    <row r="3" spans="1:2">
      <c r="A3" t="s">
        <v>7</v>
      </c>
      <c r="B3">
        <v>880</v>
      </c>
    </row>
    <row r="4" spans="1:2">
      <c r="A4" t="s">
        <v>9</v>
      </c>
      <c r="B4">
        <v>430</v>
      </c>
    </row>
    <row r="5" spans="1:2">
      <c r="A5" t="s">
        <v>10</v>
      </c>
      <c r="B5">
        <v>390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Calculations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 ali</cp:lastModifiedBy>
  <dcterms:created xsi:type="dcterms:W3CDTF">2025-12-30T14:06:00Z</dcterms:created>
  <dcterms:modified xsi:type="dcterms:W3CDTF">2026-01-02T20:21:47Z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2A93053E286E4E76AC0CEA696FD7F9DE_12</vt:lpwstr>
  </property>
  <property fmtid="{D5CDD505-2E9C-101B-9397-08002B2CF9AE}" pid="3" name="KSOProductBuildVer">
    <vt:lpwstr>1033-12.2.0.23196</vt:lpwstr>
  </property>
</Properties>
</file>